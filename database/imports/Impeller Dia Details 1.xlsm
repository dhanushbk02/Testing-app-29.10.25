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1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6569745E-D437-4D8F-9C45-E635C638A68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UMP SELECTION" sheetId="3" r:id="rId1"/>
    <sheet name="Imp dia Cal" sheetId="4" r:id="rId2"/>
  </sheets>
  <definedNames>
    <definedName name="_xlnm.Print_Area" localSheetId="0">'PUMP SELECTION'!$A$1:$G$64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3" l="1"/>
  <c r="G39" i="3"/>
  <c r="G23" i="3"/>
  <c r="C17" i="3"/>
  <c r="G17" i="3" s="1"/>
  <c r="G43" i="3"/>
  <c r="G35" i="3"/>
  <c r="G24" i="3"/>
  <c r="G64" i="3"/>
  <c r="G63" i="3"/>
  <c r="M4" i="4"/>
  <c r="M10" i="4" s="1"/>
  <c r="O10" i="4" s="1"/>
  <c r="F4" i="4"/>
  <c r="F10" i="4" s="1"/>
  <c r="H10" i="4" s="1"/>
  <c r="H4" i="4" l="1"/>
  <c r="O4" i="4"/>
  <c r="F7" i="4"/>
  <c r="H7" i="4" s="1"/>
  <c r="M7" i="4"/>
  <c r="O7" i="4" s="1"/>
  <c r="C56" i="3" l="1"/>
  <c r="C52" i="3"/>
  <c r="C47" i="3"/>
  <c r="C41" i="3"/>
  <c r="C33" i="3"/>
  <c r="C28" i="3"/>
  <c r="C20" i="3"/>
  <c r="C13" i="3"/>
  <c r="G62" i="3"/>
  <c r="G60" i="3"/>
  <c r="G58" i="3"/>
  <c r="G55" i="3"/>
  <c r="G51" i="3"/>
  <c r="G46" i="3"/>
  <c r="G40" i="3"/>
  <c r="G32" i="3"/>
  <c r="G27" i="3"/>
  <c r="G19" i="3"/>
  <c r="G12" i="3"/>
  <c r="G9" i="3"/>
  <c r="C54" i="3"/>
  <c r="C50" i="3"/>
  <c r="C45" i="3"/>
  <c r="C38" i="3"/>
  <c r="C31" i="3"/>
  <c r="C26" i="3"/>
  <c r="C11" i="3"/>
  <c r="C6" i="3"/>
  <c r="G49" i="3"/>
  <c r="G44" i="3"/>
  <c r="C36" i="3"/>
  <c r="C30" i="3"/>
  <c r="C22" i="3"/>
  <c r="C16" i="3"/>
  <c r="C15" i="3"/>
  <c r="C10" i="3"/>
  <c r="C8" i="3"/>
  <c r="C7" i="3"/>
  <c r="G5" i="3"/>
  <c r="G13" i="3" l="1"/>
  <c r="G28" i="3"/>
  <c r="G41" i="3"/>
  <c r="G52" i="3"/>
  <c r="G59" i="3"/>
  <c r="G61" i="3"/>
  <c r="G20" i="3"/>
  <c r="G33" i="3"/>
  <c r="G47" i="3"/>
  <c r="G56" i="3"/>
  <c r="G22" i="3"/>
  <c r="G7" i="3"/>
  <c r="G10" i="3"/>
  <c r="G25" i="3"/>
  <c r="G11" i="3"/>
  <c r="G18" i="3"/>
  <c r="G38" i="3"/>
  <c r="G45" i="3"/>
  <c r="G4" i="3"/>
  <c r="G16" i="3"/>
  <c r="G36" i="3"/>
  <c r="G6" i="3"/>
  <c r="G31" i="3"/>
  <c r="G54" i="3"/>
  <c r="G8" i="3"/>
  <c r="G15" i="3"/>
  <c r="G30" i="3"/>
  <c r="G26" i="3"/>
  <c r="G50" i="3"/>
</calcChain>
</file>

<file path=xl/sharedStrings.xml><?xml version="1.0" encoding="utf-8"?>
<sst xmlns="http://schemas.openxmlformats.org/spreadsheetml/2006/main" count="140" uniqueCount="41">
  <si>
    <t>KW</t>
  </si>
  <si>
    <t>FLOW</t>
  </si>
  <si>
    <t>HEAD</t>
  </si>
  <si>
    <t>HP</t>
  </si>
  <si>
    <t>AMPS</t>
  </si>
  <si>
    <t>4.5/5.2</t>
  </si>
  <si>
    <t>RATED CURRENT</t>
  </si>
  <si>
    <t>RATED POWER</t>
  </si>
  <si>
    <t xml:space="preserve">POWER INPUT AT DUTY </t>
  </si>
  <si>
    <t>MTR</t>
  </si>
  <si>
    <t>LPM</t>
  </si>
  <si>
    <t>EFFICIENCY</t>
  </si>
  <si>
    <t>%</t>
  </si>
  <si>
    <t>7.0/8.0</t>
  </si>
  <si>
    <t>4.3/5.0</t>
  </si>
  <si>
    <t>H- HEAD IN MTR</t>
  </si>
  <si>
    <t>Q- FLOW IN LPM</t>
  </si>
  <si>
    <t>RATED CURRENT - AMPS</t>
  </si>
  <si>
    <t>RATED POWER - HP</t>
  </si>
  <si>
    <t>POWER INPUT AT DUTY- KW</t>
  </si>
  <si>
    <t>EFFICIENCY - %</t>
  </si>
  <si>
    <t>RESULTS</t>
  </si>
  <si>
    <t xml:space="preserve">4.5/5.2 </t>
  </si>
  <si>
    <t>INPUT DATA</t>
  </si>
  <si>
    <t>PUMP SELECTION DATA MODEL 1143</t>
  </si>
  <si>
    <t>mm</t>
  </si>
  <si>
    <t>IMP DIA</t>
  </si>
  <si>
    <r>
      <t>D</t>
    </r>
    <r>
      <rPr>
        <sz val="8"/>
        <color rgb="FFFF0000"/>
        <rFont val="Calibri"/>
        <family val="2"/>
        <scheme val="minor"/>
      </rPr>
      <t>new</t>
    </r>
  </si>
  <si>
    <r>
      <t>D</t>
    </r>
    <r>
      <rPr>
        <sz val="8"/>
        <color theme="1"/>
        <rFont val="Calibri"/>
        <family val="2"/>
        <scheme val="minor"/>
      </rPr>
      <t>old</t>
    </r>
  </si>
  <si>
    <t>R1</t>
  </si>
  <si>
    <r>
      <t>Q</t>
    </r>
    <r>
      <rPr>
        <sz val="8"/>
        <color theme="1"/>
        <rFont val="Calibri"/>
        <family val="2"/>
        <scheme val="minor"/>
      </rPr>
      <t>old</t>
    </r>
  </si>
  <si>
    <r>
      <t>Q</t>
    </r>
    <r>
      <rPr>
        <sz val="8"/>
        <color theme="1"/>
        <rFont val="Calibri"/>
        <family val="2"/>
        <scheme val="minor"/>
      </rPr>
      <t>new</t>
    </r>
  </si>
  <si>
    <t>HZ-new</t>
  </si>
  <si>
    <t>HZ-old</t>
  </si>
  <si>
    <t>R2</t>
  </si>
  <si>
    <r>
      <t>H</t>
    </r>
    <r>
      <rPr>
        <sz val="8"/>
        <color theme="1"/>
        <rFont val="Calibri"/>
        <family val="2"/>
        <scheme val="minor"/>
      </rPr>
      <t>old</t>
    </r>
  </si>
  <si>
    <r>
      <t>H</t>
    </r>
    <r>
      <rPr>
        <sz val="8"/>
        <color theme="1"/>
        <rFont val="Calibri"/>
        <family val="2"/>
        <scheme val="minor"/>
      </rPr>
      <t>new</t>
    </r>
  </si>
  <si>
    <t>R3</t>
  </si>
  <si>
    <r>
      <t>P</t>
    </r>
    <r>
      <rPr>
        <sz val="8"/>
        <color theme="1"/>
        <rFont val="Calibri"/>
        <family val="2"/>
        <scheme val="minor"/>
      </rPr>
      <t>old</t>
    </r>
  </si>
  <si>
    <r>
      <t>P</t>
    </r>
    <r>
      <rPr>
        <sz val="8"/>
        <color theme="1"/>
        <rFont val="Calibri"/>
        <family val="2"/>
        <scheme val="minor"/>
      </rPr>
      <t>new</t>
    </r>
  </si>
  <si>
    <t>101/FL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</si>
</sst>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Helv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5" fontId="12" fillId="0" borderId="0"/>
    <xf numFmtId="0" fontId="2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2" fontId="4" fillId="3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" fontId="6" fillId="0" borderId="1" xfId="0" applyNumberFormat="1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1" fillId="0" borderId="1" xfId="0" applyFont="1" applyBorder="1"/>
    <xf numFmtId="0" fontId="0" fillId="0" borderId="1" xfId="0" applyBorder="1"/>
    <xf numFmtId="0" fontId="10" fillId="0" borderId="1" xfId="0" applyFont="1" applyBorder="1"/>
    <xf numFmtId="0" fontId="11" fillId="0" borderId="1" xfId="0" applyFont="1" applyBorder="1"/>
    <xf numFmtId="0" fontId="0" fillId="2" borderId="1" xfId="0" applyFill="1" applyBorder="1"/>
    <xf numFmtId="166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</cellXfs>
  <cellStyles count="12">
    <cellStyle name="Comma 2" xfId="2" xr:uid="{00000000-0005-0000-0000-000000000000}"/>
    <cellStyle name="Normal" xfId="0" builtinId="0"/>
    <cellStyle name="Normal 2" xfId="1" xr:uid="{00000000-0005-0000-0000-000002000000}"/>
    <cellStyle name="Normal 2 2" xfId="3" xr:uid="{00000000-0005-0000-0000-000003000000}"/>
    <cellStyle name="Normal 2 2 2" xfId="4" xr:uid="{00000000-0005-0000-0000-000004000000}"/>
    <cellStyle name="Normal 2 2 2 2" xfId="5" xr:uid="{00000000-0005-0000-0000-000005000000}"/>
    <cellStyle name="Normal 2 3" xfId="6" xr:uid="{00000000-0005-0000-0000-000006000000}"/>
    <cellStyle name="Normal 2 3 2" xfId="7" xr:uid="{00000000-0005-0000-0000-000007000000}"/>
    <cellStyle name="Normal 2 3 2 2" xfId="8" xr:uid="{00000000-0005-0000-0000-000008000000}"/>
    <cellStyle name="Normal 2 3 3" xfId="9" xr:uid="{00000000-0005-0000-0000-000009000000}"/>
    <cellStyle name="Normal 3" xfId="10" xr:uid="{00000000-0005-0000-0000-00000A000000}"/>
    <cellStyle name="Normal 4" xfId="11" xr:uid="{00000000-0005-0000-0000-00000B000000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461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19</xdr:row>
      <xdr:rowOff>0</xdr:rowOff>
    </xdr:from>
    <xdr:ext cx="1378324" cy="436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799354" y="4953000"/>
          <a:ext cx="137832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100"/>
            <a:t> </a:t>
          </a:r>
        </a:p>
        <a:p>
          <a:r>
            <a:rPr lang="en-US" sz="1100"/>
            <a:t>    </a:t>
          </a:r>
        </a:p>
      </xdr:txBody>
    </xdr:sp>
    <xdr:clientData/>
  </xdr:oneCellAnchor>
  <xdr:oneCellAnchor>
    <xdr:from>
      <xdr:col>3</xdr:col>
      <xdr:colOff>523875</xdr:colOff>
      <xdr:row>44</xdr:row>
      <xdr:rowOff>76200</xdr:rowOff>
    </xdr:from>
    <xdr:ext cx="473784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33475" y="4267200"/>
          <a:ext cx="47378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85725</xdr:colOff>
      <xdr:row>44</xdr:row>
      <xdr:rowOff>152400</xdr:rowOff>
    </xdr:from>
    <xdr:ext cx="40229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5325" y="4343400"/>
          <a:ext cx="4022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280147</xdr:colOff>
      <xdr:row>49</xdr:row>
      <xdr:rowOff>26308</xdr:rowOff>
    </xdr:from>
    <xdr:ext cx="1781735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0147" y="4407808"/>
          <a:ext cx="178173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336860</xdr:colOff>
      <xdr:row>56</xdr:row>
      <xdr:rowOff>174238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527985" y="45557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30</xdr:row>
      <xdr:rowOff>0</xdr:rowOff>
    </xdr:from>
    <xdr:ext cx="1367118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877795" y="7440706"/>
          <a:ext cx="13671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100"/>
            <a:t>        </a:t>
          </a:r>
        </a:p>
      </xdr:txBody>
    </xdr:sp>
    <xdr:clientData/>
  </xdr:oneCellAnchor>
  <xdr:oneCellAnchor>
    <xdr:from>
      <xdr:col>2</xdr:col>
      <xdr:colOff>437029</xdr:colOff>
      <xdr:row>8</xdr:row>
      <xdr:rowOff>0</xdr:rowOff>
    </xdr:from>
    <xdr:ext cx="1378324" cy="43678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37029" y="4953000"/>
          <a:ext cx="137832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100"/>
            <a:t> </a:t>
          </a:r>
        </a:p>
        <a:p>
          <a:r>
            <a:rPr lang="en-US" sz="1100"/>
            <a:t>    </a:t>
          </a:r>
        </a:p>
      </xdr:txBody>
    </xdr:sp>
    <xdr:clientData/>
  </xdr:oneCellAnchor>
  <xdr:oneCellAnchor>
    <xdr:from>
      <xdr:col>2</xdr:col>
      <xdr:colOff>515470</xdr:colOff>
      <xdr:row>62</xdr:row>
      <xdr:rowOff>0</xdr:rowOff>
    </xdr:from>
    <xdr:ext cx="1367118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003676" y="7059706"/>
          <a:ext cx="13671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100"/>
            <a:t>       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83820</xdr:colOff>
          <xdr:row>5</xdr:row>
          <xdr:rowOff>167640</xdr:rowOff>
        </xdr:from>
        <xdr:to>
          <xdr:col>23</xdr:col>
          <xdr:colOff>304800</xdr:colOff>
          <xdr:row>6</xdr:row>
          <xdr:rowOff>182880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P150"/>
  <sheetViews>
    <sheetView tabSelected="1" view="pageBreakPreview" topLeftCell="A8" zoomScale="70" zoomScaleSheetLayoutView="70" workbookViewId="0">
      <selection activeCell="F20" sqref="F20"/>
    </sheetView>
  </sheetViews>
  <sheetFormatPr defaultColWidth="9.109375" defaultRowHeight="14.4" x14ac:dyDescent="0.3"/>
  <cols>
    <col min="1" max="1" width="15.44140625" style="1" customWidth="1"/>
    <col min="2" max="2" width="14.6640625" style="1" customWidth="1"/>
    <col min="3" max="3" width="18.109375" style="1" customWidth="1"/>
    <col min="4" max="4" width="14.33203125" style="1" customWidth="1"/>
    <col min="5" max="5" width="13.88671875" style="1" customWidth="1"/>
    <col min="6" max="6" width="9" style="2" customWidth="1"/>
    <col min="7" max="7" width="14.6640625" style="1" customWidth="1"/>
    <col min="11" max="11" width="40.44140625" style="1" bestFit="1" customWidth="1"/>
    <col min="12" max="12" width="11.33203125" style="1" customWidth="1"/>
  </cols>
  <sheetData>
    <row r="1" spans="1:16" ht="21.75" customHeight="1" x14ac:dyDescent="0.3">
      <c r="A1" s="35" t="s">
        <v>24</v>
      </c>
      <c r="B1" s="36"/>
      <c r="C1" s="36"/>
      <c r="D1" s="36"/>
      <c r="E1" s="36"/>
      <c r="F1" s="36"/>
      <c r="G1" s="37"/>
    </row>
    <row r="2" spans="1:16" s="12" customFormat="1" ht="33.75" customHeight="1" x14ac:dyDescent="0.3">
      <c r="A2" s="15" t="s">
        <v>6</v>
      </c>
      <c r="B2" s="15" t="s">
        <v>7</v>
      </c>
      <c r="C2" s="15" t="s">
        <v>8</v>
      </c>
      <c r="D2" s="15" t="s">
        <v>2</v>
      </c>
      <c r="E2" s="15" t="s">
        <v>1</v>
      </c>
      <c r="F2" s="16" t="s">
        <v>26</v>
      </c>
      <c r="G2" s="15" t="s">
        <v>11</v>
      </c>
      <c r="K2" s="11"/>
      <c r="L2" s="11"/>
    </row>
    <row r="3" spans="1:16" ht="27.75" customHeight="1" x14ac:dyDescent="0.3">
      <c r="A3" s="13" t="s">
        <v>4</v>
      </c>
      <c r="B3" s="13" t="s">
        <v>3</v>
      </c>
      <c r="C3" s="13" t="s">
        <v>0</v>
      </c>
      <c r="D3" s="13" t="s">
        <v>9</v>
      </c>
      <c r="E3" s="13" t="s">
        <v>10</v>
      </c>
      <c r="F3" s="14" t="s">
        <v>25</v>
      </c>
      <c r="G3" s="13" t="s">
        <v>12</v>
      </c>
    </row>
    <row r="4" spans="1:16" ht="21" x14ac:dyDescent="0.4">
      <c r="A4" s="3" t="s">
        <v>22</v>
      </c>
      <c r="B4" s="3">
        <v>3</v>
      </c>
      <c r="C4" s="4">
        <v>1.6</v>
      </c>
      <c r="D4" s="6">
        <v>4</v>
      </c>
      <c r="E4" s="5">
        <v>869</v>
      </c>
      <c r="F4" s="7">
        <v>95</v>
      </c>
      <c r="G4" s="6">
        <f t="shared" ref="G4:G13" si="0">((0.0001409*E4*D4)/C4)*100</f>
        <v>30.610524999999999</v>
      </c>
      <c r="K4" s="34" t="s">
        <v>23</v>
      </c>
      <c r="L4" s="34"/>
    </row>
    <row r="5" spans="1:16" ht="21" x14ac:dyDescent="0.4">
      <c r="A5" s="3" t="s">
        <v>5</v>
      </c>
      <c r="B5" s="3">
        <v>3</v>
      </c>
      <c r="C5" s="4">
        <v>2.02</v>
      </c>
      <c r="D5" s="6">
        <v>4</v>
      </c>
      <c r="E5" s="5">
        <v>1126.0328606217493</v>
      </c>
      <c r="F5" s="7">
        <v>105</v>
      </c>
      <c r="G5" s="6">
        <f t="shared" si="0"/>
        <v>31.41743169536722</v>
      </c>
      <c r="K5" s="23" t="s">
        <v>15</v>
      </c>
      <c r="L5" s="18">
        <v>9.5</v>
      </c>
      <c r="N5" s="23" t="s">
        <v>26</v>
      </c>
      <c r="O5" s="17"/>
      <c r="P5" s="1">
        <v>95</v>
      </c>
    </row>
    <row r="6" spans="1:16" ht="21" x14ac:dyDescent="0.4">
      <c r="A6" s="3" t="s">
        <v>5</v>
      </c>
      <c r="B6" s="3">
        <v>3</v>
      </c>
      <c r="C6" s="4">
        <f>1.96+0.45</f>
        <v>2.41</v>
      </c>
      <c r="D6" s="6">
        <v>4.74</v>
      </c>
      <c r="E6" s="5">
        <v>1248.6135517444939</v>
      </c>
      <c r="F6" s="7">
        <v>108</v>
      </c>
      <c r="G6" s="6">
        <f t="shared" si="0"/>
        <v>34.601931051841831</v>
      </c>
      <c r="K6" s="23" t="s">
        <v>16</v>
      </c>
      <c r="L6" s="18">
        <v>1000</v>
      </c>
    </row>
    <row r="7" spans="1:16" ht="21" x14ac:dyDescent="0.4">
      <c r="A7" s="3" t="s">
        <v>5</v>
      </c>
      <c r="B7" s="3">
        <v>3</v>
      </c>
      <c r="C7" s="4">
        <f>1.11+0.24</f>
        <v>1.35</v>
      </c>
      <c r="D7" s="6">
        <v>5</v>
      </c>
      <c r="E7" s="5">
        <v>800.85921858963445</v>
      </c>
      <c r="F7" s="7">
        <v>95</v>
      </c>
      <c r="G7" s="6">
        <f t="shared" si="0"/>
        <v>41.79298662936278</v>
      </c>
      <c r="K7" s="24"/>
      <c r="L7" s="19"/>
    </row>
    <row r="8" spans="1:16" ht="21" x14ac:dyDescent="0.4">
      <c r="A8" s="3" t="s">
        <v>5</v>
      </c>
      <c r="B8" s="3">
        <v>3</v>
      </c>
      <c r="C8" s="4">
        <f>1.662+0.382</f>
        <v>2.044</v>
      </c>
      <c r="D8" s="6">
        <v>5</v>
      </c>
      <c r="E8" s="5">
        <v>1067.5555749468033</v>
      </c>
      <c r="F8" s="7">
        <v>95</v>
      </c>
      <c r="G8" s="6">
        <f t="shared" si="0"/>
        <v>36.79515178816159</v>
      </c>
      <c r="K8" s="34" t="s">
        <v>21</v>
      </c>
      <c r="L8" s="34"/>
    </row>
    <row r="9" spans="1:16" ht="21" x14ac:dyDescent="0.4">
      <c r="A9" s="3" t="s">
        <v>13</v>
      </c>
      <c r="B9" s="3" t="s">
        <v>14</v>
      </c>
      <c r="C9" s="8">
        <v>2.86</v>
      </c>
      <c r="D9" s="9">
        <v>5.25</v>
      </c>
      <c r="E9" s="5">
        <v>1289.4349968881718</v>
      </c>
      <c r="F9" s="7">
        <v>110</v>
      </c>
      <c r="G9" s="6">
        <f t="shared" si="0"/>
        <v>33.350605002556051</v>
      </c>
      <c r="K9" s="23" t="s">
        <v>17</v>
      </c>
      <c r="L9" s="20" t="s">
        <v>13</v>
      </c>
    </row>
    <row r="10" spans="1:16" ht="21" x14ac:dyDescent="0.4">
      <c r="A10" s="3" t="s">
        <v>5</v>
      </c>
      <c r="B10" s="3">
        <v>3</v>
      </c>
      <c r="C10" s="4">
        <f>1.1+0.24</f>
        <v>1.34</v>
      </c>
      <c r="D10" s="6">
        <v>6</v>
      </c>
      <c r="E10" s="5">
        <v>733.32712918587697</v>
      </c>
      <c r="F10" s="7">
        <v>95</v>
      </c>
      <c r="G10" s="6">
        <f t="shared" si="0"/>
        <v>46.265280224906</v>
      </c>
      <c r="K10" s="23" t="s">
        <v>18</v>
      </c>
      <c r="L10" s="17" t="s">
        <v>14</v>
      </c>
    </row>
    <row r="11" spans="1:16" ht="21" x14ac:dyDescent="0.4">
      <c r="A11" s="3" t="s">
        <v>5</v>
      </c>
      <c r="B11" s="3">
        <v>3</v>
      </c>
      <c r="C11" s="4">
        <f>1.95+0.45</f>
        <v>2.4</v>
      </c>
      <c r="D11" s="6">
        <v>6</v>
      </c>
      <c r="E11" s="5">
        <v>1175.3400052750692</v>
      </c>
      <c r="F11" s="7">
        <v>108</v>
      </c>
      <c r="G11" s="6">
        <f t="shared" si="0"/>
        <v>41.401351685814319</v>
      </c>
      <c r="K11" s="23" t="s">
        <v>19</v>
      </c>
      <c r="L11" s="17"/>
    </row>
    <row r="12" spans="1:16" ht="21" x14ac:dyDescent="0.4">
      <c r="A12" s="3" t="s">
        <v>13</v>
      </c>
      <c r="B12" s="3" t="s">
        <v>14</v>
      </c>
      <c r="C12" s="8">
        <v>2.87</v>
      </c>
      <c r="D12" s="9">
        <v>6</v>
      </c>
      <c r="E12" s="5">
        <v>1240.685766501736</v>
      </c>
      <c r="F12" s="7">
        <v>109</v>
      </c>
      <c r="G12" s="6">
        <f t="shared" si="0"/>
        <v>36.546193275281105</v>
      </c>
      <c r="K12" s="23" t="s">
        <v>15</v>
      </c>
      <c r="L12" s="17">
        <v>9.5</v>
      </c>
    </row>
    <row r="13" spans="1:16" ht="21" x14ac:dyDescent="0.4">
      <c r="A13" s="3" t="s">
        <v>13</v>
      </c>
      <c r="B13" s="3" t="s">
        <v>14</v>
      </c>
      <c r="C13" s="4">
        <f>2.44+0.56</f>
        <v>3</v>
      </c>
      <c r="D13" s="6">
        <v>6</v>
      </c>
      <c r="E13" s="5">
        <v>1302.7579262472364</v>
      </c>
      <c r="F13" s="7">
        <v>109</v>
      </c>
      <c r="G13" s="6">
        <f t="shared" si="0"/>
        <v>36.711718361647122</v>
      </c>
      <c r="K13" s="23" t="s">
        <v>16</v>
      </c>
      <c r="L13" s="21">
        <v>1000</v>
      </c>
    </row>
    <row r="14" spans="1:16" ht="21" x14ac:dyDescent="0.4">
      <c r="A14" s="3" t="s">
        <v>5</v>
      </c>
      <c r="B14" s="3">
        <v>3</v>
      </c>
      <c r="C14" s="4">
        <v>1.94</v>
      </c>
      <c r="D14" s="6">
        <v>6</v>
      </c>
      <c r="E14" s="5">
        <v>957</v>
      </c>
      <c r="F14" s="7" t="s">
        <v>40</v>
      </c>
      <c r="G14" s="6">
        <v>38.235197608135849</v>
      </c>
      <c r="K14" s="23" t="s">
        <v>26</v>
      </c>
      <c r="L14" s="22">
        <v>112</v>
      </c>
    </row>
    <row r="15" spans="1:16" ht="21" x14ac:dyDescent="0.4">
      <c r="A15" s="3" t="s">
        <v>5</v>
      </c>
      <c r="B15" s="3">
        <v>3</v>
      </c>
      <c r="C15" s="4">
        <f>1.651+0.381</f>
        <v>2.032</v>
      </c>
      <c r="D15" s="6">
        <v>6</v>
      </c>
      <c r="E15" s="5">
        <v>1013.0156863543623</v>
      </c>
      <c r="F15" s="7">
        <v>106</v>
      </c>
      <c r="G15" s="6">
        <f t="shared" ref="G15:G20" si="1">((0.0001409*E15*D15)/C15)*100</f>
        <v>42.145839628148515</v>
      </c>
      <c r="K15" s="23" t="s">
        <v>20</v>
      </c>
      <c r="L15" s="22" t="e">
        <v>#DIV/0!</v>
      </c>
    </row>
    <row r="16" spans="1:16" x14ac:dyDescent="0.3">
      <c r="A16" s="3" t="s">
        <v>5</v>
      </c>
      <c r="B16" s="3">
        <v>3</v>
      </c>
      <c r="C16" s="4">
        <f>1.055+0.22</f>
        <v>1.2749999999999999</v>
      </c>
      <c r="D16" s="6">
        <v>7</v>
      </c>
      <c r="E16" s="5">
        <v>628.24565895834087</v>
      </c>
      <c r="F16" s="7">
        <v>95</v>
      </c>
      <c r="G16" s="6">
        <f t="shared" si="1"/>
        <v>48.599113210244049</v>
      </c>
    </row>
    <row r="17" spans="1:7" ht="21" customHeight="1" x14ac:dyDescent="0.3">
      <c r="A17" s="3" t="s">
        <v>5</v>
      </c>
      <c r="B17" s="3">
        <v>3</v>
      </c>
      <c r="C17" s="4">
        <f>1.94+0.45</f>
        <v>2.39</v>
      </c>
      <c r="D17" s="6">
        <v>7</v>
      </c>
      <c r="E17" s="5">
        <v>1121.6428522484327</v>
      </c>
      <c r="F17" s="7"/>
      <c r="G17" s="6">
        <f t="shared" si="1"/>
        <v>46.287713187139303</v>
      </c>
    </row>
    <row r="18" spans="1:7" ht="21" customHeight="1" x14ac:dyDescent="0.3">
      <c r="A18" s="3" t="s">
        <v>5</v>
      </c>
      <c r="B18" s="3">
        <v>3</v>
      </c>
      <c r="C18" s="4">
        <v>2.2000000000000002</v>
      </c>
      <c r="D18" s="6">
        <v>7</v>
      </c>
      <c r="E18" s="5">
        <v>1005</v>
      </c>
      <c r="F18" s="7">
        <v>105</v>
      </c>
      <c r="G18" s="6">
        <f t="shared" si="1"/>
        <v>45.055977272727276</v>
      </c>
    </row>
    <row r="19" spans="1:7" ht="21" customHeight="1" x14ac:dyDescent="0.3">
      <c r="A19" s="3" t="s">
        <v>13</v>
      </c>
      <c r="B19" s="3" t="s">
        <v>14</v>
      </c>
      <c r="C19" s="8">
        <v>2.87</v>
      </c>
      <c r="D19" s="9">
        <v>7</v>
      </c>
      <c r="E19" s="5">
        <v>1189.9410620698825</v>
      </c>
      <c r="F19" s="7">
        <v>105</v>
      </c>
      <c r="G19" s="6">
        <f t="shared" si="1"/>
        <v>40.893340401377181</v>
      </c>
    </row>
    <row r="20" spans="1:7" ht="21" customHeight="1" x14ac:dyDescent="0.3">
      <c r="A20" s="3" t="s">
        <v>13</v>
      </c>
      <c r="B20" s="3" t="s">
        <v>14</v>
      </c>
      <c r="C20" s="4">
        <f>2.41+0.56</f>
        <v>2.97</v>
      </c>
      <c r="D20" s="6">
        <v>7</v>
      </c>
      <c r="E20" s="5">
        <v>1260.4117371716275</v>
      </c>
      <c r="F20" s="7"/>
      <c r="G20" s="6">
        <f t="shared" si="1"/>
        <v>41.85670358156149</v>
      </c>
    </row>
    <row r="21" spans="1:7" ht="21" customHeight="1" x14ac:dyDescent="0.3">
      <c r="A21" s="3" t="s">
        <v>5</v>
      </c>
      <c r="B21" s="3">
        <v>3</v>
      </c>
      <c r="C21" s="4">
        <v>2.7199999999999998</v>
      </c>
      <c r="D21" s="6">
        <v>7</v>
      </c>
      <c r="E21" s="5">
        <v>1185.7876774532615</v>
      </c>
      <c r="F21" s="7"/>
      <c r="G21" s="6">
        <v>42.99788184824088</v>
      </c>
    </row>
    <row r="22" spans="1:7" ht="21" customHeight="1" x14ac:dyDescent="0.3">
      <c r="A22" s="3" t="s">
        <v>5</v>
      </c>
      <c r="B22" s="3">
        <v>3</v>
      </c>
      <c r="C22" s="4">
        <f>1.633+0.375</f>
        <v>2.008</v>
      </c>
      <c r="D22" s="6">
        <v>7</v>
      </c>
      <c r="E22" s="5">
        <v>952.78171602943758</v>
      </c>
      <c r="F22" s="7"/>
      <c r="G22" s="6">
        <f t="shared" ref="G22:G28" si="2">((0.0001409*E22*D22)/C22)*100</f>
        <v>46.799233392422032</v>
      </c>
    </row>
    <row r="23" spans="1:7" ht="21" customHeight="1" x14ac:dyDescent="0.3">
      <c r="A23" s="3" t="s">
        <v>5</v>
      </c>
      <c r="B23" s="3">
        <v>3</v>
      </c>
      <c r="C23" s="4"/>
      <c r="D23" s="6">
        <v>8</v>
      </c>
      <c r="E23" s="5">
        <v>700</v>
      </c>
      <c r="F23" s="7">
        <v>100</v>
      </c>
      <c r="G23" s="6" t="e">
        <f t="shared" ref="G23" si="3">((0.0001409*E23*D23)/C23)*100</f>
        <v>#DIV/0!</v>
      </c>
    </row>
    <row r="24" spans="1:7" ht="21" customHeight="1" x14ac:dyDescent="0.3">
      <c r="A24" s="3" t="s">
        <v>5</v>
      </c>
      <c r="B24" s="3">
        <v>3</v>
      </c>
      <c r="C24" s="4">
        <v>1.9</v>
      </c>
      <c r="D24" s="6">
        <v>8</v>
      </c>
      <c r="E24" s="5">
        <v>788</v>
      </c>
      <c r="F24" s="7" t="s">
        <v>40</v>
      </c>
      <c r="G24" s="6">
        <f t="shared" si="2"/>
        <v>46.749136842105273</v>
      </c>
    </row>
    <row r="25" spans="1:7" ht="21" customHeight="1" x14ac:dyDescent="0.3">
      <c r="A25" s="3" t="s">
        <v>5</v>
      </c>
      <c r="B25" s="3">
        <v>3</v>
      </c>
      <c r="C25" s="4">
        <v>1.35</v>
      </c>
      <c r="D25" s="6">
        <v>8</v>
      </c>
      <c r="E25" s="5">
        <v>485</v>
      </c>
      <c r="F25" s="7">
        <v>95</v>
      </c>
      <c r="G25" s="6">
        <f t="shared" si="2"/>
        <v>40.495703703703704</v>
      </c>
    </row>
    <row r="26" spans="1:7" ht="21" customHeight="1" x14ac:dyDescent="0.3">
      <c r="A26" s="3" t="s">
        <v>5</v>
      </c>
      <c r="B26" s="3">
        <v>3</v>
      </c>
      <c r="C26" s="4">
        <f>1.93+0.44</f>
        <v>2.37</v>
      </c>
      <c r="D26" s="6">
        <v>8</v>
      </c>
      <c r="E26" s="5">
        <v>1058.2723067339521</v>
      </c>
      <c r="F26" s="7"/>
      <c r="G26" s="6">
        <f t="shared" si="2"/>
        <v>50.332681187785269</v>
      </c>
    </row>
    <row r="27" spans="1:7" ht="21" customHeight="1" x14ac:dyDescent="0.3">
      <c r="A27" s="3" t="s">
        <v>13</v>
      </c>
      <c r="B27" s="3" t="s">
        <v>14</v>
      </c>
      <c r="C27" s="8">
        <v>2.85</v>
      </c>
      <c r="D27" s="9">
        <v>8</v>
      </c>
      <c r="E27" s="5">
        <v>1143.4243586700434</v>
      </c>
      <c r="F27" s="7"/>
      <c r="G27" s="6">
        <f t="shared" si="2"/>
        <v>45.223436389223615</v>
      </c>
    </row>
    <row r="28" spans="1:7" ht="21" customHeight="1" x14ac:dyDescent="0.3">
      <c r="A28" s="3" t="s">
        <v>13</v>
      </c>
      <c r="B28" s="3" t="s">
        <v>14</v>
      </c>
      <c r="C28" s="4">
        <f>2.41+0.56</f>
        <v>2.97</v>
      </c>
      <c r="D28" s="6">
        <v>8</v>
      </c>
      <c r="E28" s="5">
        <v>1208.454653514148</v>
      </c>
      <c r="F28" s="7"/>
      <c r="G28" s="6">
        <f t="shared" si="2"/>
        <v>45.864312641116086</v>
      </c>
    </row>
    <row r="29" spans="1:7" ht="21" customHeight="1" x14ac:dyDescent="0.3">
      <c r="A29" s="3" t="s">
        <v>5</v>
      </c>
      <c r="B29" s="3" t="s">
        <v>14</v>
      </c>
      <c r="C29" s="4">
        <v>2.6999999999999997</v>
      </c>
      <c r="D29" s="6">
        <v>8</v>
      </c>
      <c r="E29" s="5">
        <v>1143.4243586700434</v>
      </c>
      <c r="F29" s="7"/>
      <c r="G29" s="6">
        <v>47.735849521958265</v>
      </c>
    </row>
    <row r="30" spans="1:7" ht="21" customHeight="1" x14ac:dyDescent="0.3">
      <c r="A30" s="3" t="s">
        <v>5</v>
      </c>
      <c r="B30" s="3">
        <v>3</v>
      </c>
      <c r="C30" s="4">
        <f>1.592+0.367</f>
        <v>1.9590000000000001</v>
      </c>
      <c r="D30" s="6">
        <v>8</v>
      </c>
      <c r="E30" s="5">
        <v>871.65547689439768</v>
      </c>
      <c r="F30" s="7"/>
      <c r="G30" s="6">
        <f>((0.0001409*E30*D30)/C30)*100</f>
        <v>50.154673484194234</v>
      </c>
    </row>
    <row r="31" spans="1:7" ht="21" customHeight="1" x14ac:dyDescent="0.3">
      <c r="A31" s="3" t="s">
        <v>5</v>
      </c>
      <c r="B31" s="3">
        <v>3</v>
      </c>
      <c r="C31" s="4">
        <f>1.9+0.44</f>
        <v>2.34</v>
      </c>
      <c r="D31" s="6">
        <v>9</v>
      </c>
      <c r="E31" s="5">
        <v>983.3599999999999</v>
      </c>
      <c r="F31" s="7"/>
      <c r="G31" s="6">
        <f>((0.0001409*E31*D31)/C31)*100</f>
        <v>53.29054769230769</v>
      </c>
    </row>
    <row r="32" spans="1:7" ht="21" customHeight="1" x14ac:dyDescent="0.3">
      <c r="A32" s="3" t="s">
        <v>13</v>
      </c>
      <c r="B32" s="3" t="s">
        <v>14</v>
      </c>
      <c r="C32" s="8">
        <v>2.81</v>
      </c>
      <c r="D32" s="9">
        <v>9</v>
      </c>
      <c r="E32" s="5">
        <v>1076.7588105049338</v>
      </c>
      <c r="F32" s="7"/>
      <c r="G32" s="6">
        <f>((0.0001409*E32*D32)/C32)*100</f>
        <v>48.592094220687073</v>
      </c>
    </row>
    <row r="33" spans="1:7" ht="21" customHeight="1" x14ac:dyDescent="0.3">
      <c r="A33" s="3" t="s">
        <v>13</v>
      </c>
      <c r="B33" s="3" t="s">
        <v>14</v>
      </c>
      <c r="C33" s="4">
        <f>2.4+0.55</f>
        <v>2.95</v>
      </c>
      <c r="D33" s="6">
        <v>9</v>
      </c>
      <c r="E33" s="5">
        <v>1156.2963329527599</v>
      </c>
      <c r="F33" s="7"/>
      <c r="G33" s="6">
        <f>((0.0001409*E33*D33)/C33)*100</f>
        <v>49.705063722623557</v>
      </c>
    </row>
    <row r="34" spans="1:7" ht="21" customHeight="1" x14ac:dyDescent="0.3">
      <c r="A34" s="3" t="s">
        <v>5</v>
      </c>
      <c r="B34" s="3">
        <v>3</v>
      </c>
      <c r="C34" s="4">
        <v>2.6599999999999997</v>
      </c>
      <c r="D34" s="6">
        <v>9</v>
      </c>
      <c r="E34" s="5">
        <v>1069.8638059117618</v>
      </c>
      <c r="F34" s="7"/>
      <c r="G34" s="6">
        <v>51.003544822432531</v>
      </c>
    </row>
    <row r="35" spans="1:7" ht="21" customHeight="1" x14ac:dyDescent="0.3">
      <c r="A35" s="3" t="s">
        <v>5</v>
      </c>
      <c r="B35" s="3">
        <v>3</v>
      </c>
      <c r="C35" s="4">
        <v>1.77</v>
      </c>
      <c r="D35" s="6">
        <v>9</v>
      </c>
      <c r="E35" s="5">
        <v>666</v>
      </c>
      <c r="F35" s="7" t="s">
        <v>40</v>
      </c>
      <c r="G35" s="6">
        <f>((0.0001409*E35*D35)/C35)*100</f>
        <v>47.714949152542374</v>
      </c>
    </row>
    <row r="36" spans="1:7" ht="21" customHeight="1" x14ac:dyDescent="0.3">
      <c r="A36" s="3" t="s">
        <v>5</v>
      </c>
      <c r="B36" s="3">
        <v>3</v>
      </c>
      <c r="C36" s="4">
        <f>1.542+0.352</f>
        <v>1.8940000000000001</v>
      </c>
      <c r="D36" s="6">
        <v>9</v>
      </c>
      <c r="E36" s="5">
        <v>782.15953769036139</v>
      </c>
      <c r="F36" s="7"/>
      <c r="G36" s="6">
        <f>((0.0001409*E36*D36)/C36)*100</f>
        <v>52.368347927410099</v>
      </c>
    </row>
    <row r="37" spans="1:7" ht="21" customHeight="1" x14ac:dyDescent="0.3">
      <c r="A37" s="3" t="s">
        <v>13</v>
      </c>
      <c r="B37" s="3" t="s">
        <v>14</v>
      </c>
      <c r="C37" s="8"/>
      <c r="D37" s="9">
        <v>9.5</v>
      </c>
      <c r="E37" s="5">
        <v>1000</v>
      </c>
      <c r="F37" s="7">
        <v>112</v>
      </c>
      <c r="G37" s="6" t="e">
        <f>((0.0001409*E37*D37)/C37)*100</f>
        <v>#DIV/0!</v>
      </c>
    </row>
    <row r="38" spans="1:7" ht="21" customHeight="1" x14ac:dyDescent="0.3">
      <c r="A38" s="3" t="s">
        <v>5</v>
      </c>
      <c r="B38" s="3">
        <v>3</v>
      </c>
      <c r="C38" s="4">
        <f>1.86+0.427</f>
        <v>2.2869999999999999</v>
      </c>
      <c r="D38" s="6">
        <v>10</v>
      </c>
      <c r="E38" s="5">
        <v>899.51089287456648</v>
      </c>
      <c r="F38" s="7"/>
      <c r="G38" s="6">
        <f>((0.0001409*E38*D38)/C38)*100</f>
        <v>55.418051948415567</v>
      </c>
    </row>
    <row r="39" spans="1:7" ht="21" customHeight="1" x14ac:dyDescent="0.3">
      <c r="A39" s="3" t="s">
        <v>13</v>
      </c>
      <c r="B39" s="3" t="s">
        <v>14</v>
      </c>
      <c r="C39" s="8"/>
      <c r="D39" s="9">
        <v>10</v>
      </c>
      <c r="E39" s="5">
        <v>1200</v>
      </c>
      <c r="F39" s="7">
        <v>118</v>
      </c>
      <c r="G39" s="6" t="e">
        <f>((0.0001409*E39*D39)/C39)*100</f>
        <v>#DIV/0!</v>
      </c>
    </row>
    <row r="40" spans="1:7" ht="21" customHeight="1" x14ac:dyDescent="0.3">
      <c r="A40" s="3" t="s">
        <v>13</v>
      </c>
      <c r="B40" s="3" t="s">
        <v>14</v>
      </c>
      <c r="C40" s="8">
        <v>2.78</v>
      </c>
      <c r="D40" s="9">
        <v>10</v>
      </c>
      <c r="E40" s="5">
        <v>1005.6837514845309</v>
      </c>
      <c r="F40" s="7"/>
      <c r="G40" s="6">
        <f>((0.0001409*E40*D40)/C40)*100</f>
        <v>50.971525389989367</v>
      </c>
    </row>
    <row r="41" spans="1:7" ht="21" customHeight="1" x14ac:dyDescent="0.3">
      <c r="A41" s="3" t="s">
        <v>13</v>
      </c>
      <c r="B41" s="3" t="s">
        <v>14</v>
      </c>
      <c r="C41" s="4">
        <f>2.38+0.55</f>
        <v>2.9299999999999997</v>
      </c>
      <c r="D41" s="6">
        <v>10</v>
      </c>
      <c r="E41" s="5">
        <v>1108.3685047852991</v>
      </c>
      <c r="F41" s="7"/>
      <c r="G41" s="6">
        <f>((0.0001409*E41*D41)/C41)*100</f>
        <v>53.300041748890322</v>
      </c>
    </row>
    <row r="42" spans="1:7" ht="21" customHeight="1" x14ac:dyDescent="0.3">
      <c r="A42" s="3" t="s">
        <v>5</v>
      </c>
      <c r="B42" s="3">
        <v>3</v>
      </c>
      <c r="C42" s="4">
        <v>2.6199999999999997</v>
      </c>
      <c r="D42" s="6">
        <v>10</v>
      </c>
      <c r="E42" s="5">
        <v>1013.0156863543623</v>
      </c>
      <c r="F42" s="7"/>
      <c r="G42" s="6">
        <v>54.478591682186895</v>
      </c>
    </row>
    <row r="43" spans="1:7" ht="21" customHeight="1" x14ac:dyDescent="0.3">
      <c r="A43" s="3" t="s">
        <v>5</v>
      </c>
      <c r="B43" s="3">
        <v>3</v>
      </c>
      <c r="C43" s="4">
        <v>1.806</v>
      </c>
      <c r="D43" s="6">
        <v>10</v>
      </c>
      <c r="E43" s="5">
        <v>677.3700294521451</v>
      </c>
      <c r="F43" s="7"/>
      <c r="G43" s="6">
        <f>((0.0001409*E43*D43)/C43)*100</f>
        <v>52.846864424035026</v>
      </c>
    </row>
    <row r="44" spans="1:7" ht="21" customHeight="1" x14ac:dyDescent="0.3">
      <c r="A44" s="3" t="s">
        <v>5</v>
      </c>
      <c r="B44" s="3">
        <v>3</v>
      </c>
      <c r="C44" s="4">
        <v>1.6</v>
      </c>
      <c r="D44" s="6">
        <v>10</v>
      </c>
      <c r="E44" s="5">
        <v>520</v>
      </c>
      <c r="F44" s="7" t="s">
        <v>40</v>
      </c>
      <c r="G44" s="6">
        <f>((0.0001409*E44*D44)/C44)*100</f>
        <v>45.792499999999997</v>
      </c>
    </row>
    <row r="45" spans="1:7" ht="21" customHeight="1" x14ac:dyDescent="0.3">
      <c r="A45" s="3" t="s">
        <v>5</v>
      </c>
      <c r="B45" s="3">
        <v>3</v>
      </c>
      <c r="C45" s="4">
        <f>1.76+0.407</f>
        <v>2.1669999999999998</v>
      </c>
      <c r="D45" s="6">
        <v>11</v>
      </c>
      <c r="E45" s="5">
        <v>778.9992842101974</v>
      </c>
      <c r="F45" s="7"/>
      <c r="G45" s="6">
        <f>((0.0001409*E45*D45)/C45)*100</f>
        <v>55.716243220922244</v>
      </c>
    </row>
    <row r="46" spans="1:7" ht="21" customHeight="1" x14ac:dyDescent="0.3">
      <c r="A46" s="3" t="s">
        <v>13</v>
      </c>
      <c r="B46" s="3" t="s">
        <v>14</v>
      </c>
      <c r="C46" s="10">
        <v>2.76</v>
      </c>
      <c r="D46" s="9">
        <v>11</v>
      </c>
      <c r="E46" s="5">
        <v>944.98255306645729</v>
      </c>
      <c r="F46" s="7"/>
      <c r="G46" s="6">
        <f>((0.0001409*E46*D46)/C46)*100</f>
        <v>53.066248514409509</v>
      </c>
    </row>
    <row r="47" spans="1:7" ht="21" customHeight="1" x14ac:dyDescent="0.3">
      <c r="A47" s="3" t="s">
        <v>13</v>
      </c>
      <c r="B47" s="3" t="s">
        <v>14</v>
      </c>
      <c r="C47" s="4">
        <f>2.36+0.55</f>
        <v>2.91</v>
      </c>
      <c r="D47" s="6">
        <v>11</v>
      </c>
      <c r="E47" s="5">
        <v>1051.2560593880064</v>
      </c>
      <c r="F47" s="7"/>
      <c r="G47" s="6">
        <f>((0.0001409*E47*D47)/C47)*100</f>
        <v>55.991125994689725</v>
      </c>
    </row>
    <row r="48" spans="1:7" ht="21" customHeight="1" x14ac:dyDescent="0.3">
      <c r="A48" s="3" t="s">
        <v>5</v>
      </c>
      <c r="B48" s="3">
        <v>3</v>
      </c>
      <c r="C48" s="4">
        <v>2.56</v>
      </c>
      <c r="D48" s="6">
        <v>11</v>
      </c>
      <c r="E48" s="5">
        <v>913.11999999999989</v>
      </c>
      <c r="F48" s="7"/>
      <c r="G48" s="6">
        <v>55.282995624999984</v>
      </c>
    </row>
    <row r="49" spans="1:7" ht="21" customHeight="1" x14ac:dyDescent="0.3">
      <c r="A49" s="3" t="s">
        <v>5</v>
      </c>
      <c r="B49" s="3">
        <v>3</v>
      </c>
      <c r="C49" s="4">
        <v>1.6619999999999999</v>
      </c>
      <c r="D49" s="6">
        <v>11</v>
      </c>
      <c r="E49" s="5">
        <v>530.30037073341748</v>
      </c>
      <c r="F49" s="7"/>
      <c r="G49" s="6">
        <f>((0.0001409*E49*D49)/C49)*100</f>
        <v>49.453221696734282</v>
      </c>
    </row>
    <row r="50" spans="1:7" ht="21" customHeight="1" x14ac:dyDescent="0.3">
      <c r="A50" s="3" t="s">
        <v>5</v>
      </c>
      <c r="B50" s="3">
        <v>3</v>
      </c>
      <c r="C50" s="4">
        <f>1.68+0.39</f>
        <v>2.0699999999999998</v>
      </c>
      <c r="D50" s="6">
        <v>12</v>
      </c>
      <c r="E50" s="5">
        <v>677.3700294521451</v>
      </c>
      <c r="F50" s="7"/>
      <c r="G50" s="6">
        <f>((0.0001409*E50*D50)/C50)*100</f>
        <v>55.328369362207106</v>
      </c>
    </row>
    <row r="51" spans="1:7" ht="21" customHeight="1" x14ac:dyDescent="0.3">
      <c r="A51" s="3" t="s">
        <v>5</v>
      </c>
      <c r="B51" s="3">
        <v>3</v>
      </c>
      <c r="C51" s="8">
        <v>2.69</v>
      </c>
      <c r="D51" s="9">
        <v>12</v>
      </c>
      <c r="E51" s="5">
        <v>871.65547689439768</v>
      </c>
      <c r="F51" s="7"/>
      <c r="G51" s="6">
        <f>((0.0001409*E51*D51)/C51)*100</f>
        <v>54.787921201972033</v>
      </c>
    </row>
    <row r="52" spans="1:7" ht="21" customHeight="1" x14ac:dyDescent="0.3">
      <c r="A52" s="3" t="s">
        <v>13</v>
      </c>
      <c r="B52" s="3" t="s">
        <v>14</v>
      </c>
      <c r="C52" s="4">
        <f>2.32+0.54</f>
        <v>2.86</v>
      </c>
      <c r="D52" s="6">
        <v>12</v>
      </c>
      <c r="E52" s="5">
        <v>978.32999258941243</v>
      </c>
      <c r="F52" s="7"/>
      <c r="G52" s="6">
        <f>((0.0001409*E52*D52)/C52)*100</f>
        <v>57.83777452692933</v>
      </c>
    </row>
    <row r="53" spans="1:7" ht="21" customHeight="1" x14ac:dyDescent="0.3">
      <c r="A53" s="3" t="s">
        <v>5</v>
      </c>
      <c r="B53" s="3">
        <v>3</v>
      </c>
      <c r="C53" s="4">
        <v>2.46</v>
      </c>
      <c r="D53" s="6">
        <v>12</v>
      </c>
      <c r="E53" s="5">
        <v>803.93354551231403</v>
      </c>
      <c r="F53" s="7"/>
      <c r="G53" s="6">
        <v>55.255725152529301</v>
      </c>
    </row>
    <row r="54" spans="1:7" ht="21" customHeight="1" x14ac:dyDescent="0.3">
      <c r="A54" s="3" t="s">
        <v>5</v>
      </c>
      <c r="B54" s="3">
        <v>3</v>
      </c>
      <c r="C54" s="4">
        <f>1.18+0.26</f>
        <v>1.44</v>
      </c>
      <c r="D54" s="6">
        <v>13</v>
      </c>
      <c r="E54" s="5">
        <v>336.85920619748538</v>
      </c>
      <c r="F54" s="7"/>
      <c r="G54" s="6">
        <f>((0.0001409*E54*D54)/C54)*100</f>
        <v>42.848958888328752</v>
      </c>
    </row>
    <row r="55" spans="1:7" ht="21" customHeight="1" x14ac:dyDescent="0.3">
      <c r="A55" s="3" t="s">
        <v>13</v>
      </c>
      <c r="B55" s="3" t="s">
        <v>14</v>
      </c>
      <c r="C55" s="4">
        <v>4.42</v>
      </c>
      <c r="D55" s="6">
        <v>13</v>
      </c>
      <c r="E55" s="5">
        <v>1298.9653187056226</v>
      </c>
      <c r="F55" s="7"/>
      <c r="G55" s="6">
        <f>((0.0001409*E55*D55)/C55)*100</f>
        <v>53.830651001653592</v>
      </c>
    </row>
    <row r="56" spans="1:7" ht="21" customHeight="1" x14ac:dyDescent="0.3">
      <c r="A56" s="3" t="s">
        <v>13</v>
      </c>
      <c r="B56" s="3" t="s">
        <v>14</v>
      </c>
      <c r="C56" s="4">
        <f>2.26+0.52</f>
        <v>2.78</v>
      </c>
      <c r="D56" s="6">
        <v>13</v>
      </c>
      <c r="E56" s="5">
        <v>880.10467741059063</v>
      </c>
      <c r="F56" s="7"/>
      <c r="G56" s="6">
        <f>((0.0001409*E56*D56)/C56)*100</f>
        <v>57.988767540035212</v>
      </c>
    </row>
    <row r="57" spans="1:7" ht="21" customHeight="1" x14ac:dyDescent="0.3">
      <c r="A57" s="3" t="s">
        <v>5</v>
      </c>
      <c r="B57" s="3">
        <v>3</v>
      </c>
      <c r="C57" s="4">
        <v>2.38</v>
      </c>
      <c r="D57" s="6">
        <v>13</v>
      </c>
      <c r="E57" s="5">
        <v>702.4</v>
      </c>
      <c r="F57" s="7"/>
      <c r="G57" s="6">
        <v>54.058238655462191</v>
      </c>
    </row>
    <row r="58" spans="1:7" ht="21" customHeight="1" x14ac:dyDescent="0.3">
      <c r="A58" s="3" t="s">
        <v>13</v>
      </c>
      <c r="B58" s="3" t="s">
        <v>14</v>
      </c>
      <c r="C58" s="4">
        <v>4.25</v>
      </c>
      <c r="D58" s="6">
        <v>14</v>
      </c>
      <c r="E58" s="5">
        <v>1179.5301790119656</v>
      </c>
      <c r="F58" s="7"/>
      <c r="G58" s="6">
        <f t="shared" ref="G58:G64" si="4">((0.0001409*E58*D58)/C58)*100</f>
        <v>54.746852496917718</v>
      </c>
    </row>
    <row r="59" spans="1:7" ht="21" customHeight="1" x14ac:dyDescent="0.3">
      <c r="A59" s="3" t="s">
        <v>13</v>
      </c>
      <c r="B59" s="3" t="s">
        <v>14</v>
      </c>
      <c r="C59" s="4">
        <v>2.85</v>
      </c>
      <c r="D59" s="6">
        <v>14</v>
      </c>
      <c r="E59" s="5">
        <v>750</v>
      </c>
      <c r="F59" s="7"/>
      <c r="G59" s="6">
        <f t="shared" si="4"/>
        <v>51.910526315789475</v>
      </c>
    </row>
    <row r="60" spans="1:7" ht="21" customHeight="1" x14ac:dyDescent="0.3">
      <c r="A60" s="3" t="s">
        <v>13</v>
      </c>
      <c r="B60" s="3" t="s">
        <v>14</v>
      </c>
      <c r="C60" s="4">
        <v>4.0999999999999996</v>
      </c>
      <c r="D60" s="6">
        <v>15</v>
      </c>
      <c r="E60" s="5">
        <v>1010</v>
      </c>
      <c r="F60" s="7"/>
      <c r="G60" s="6">
        <f t="shared" si="4"/>
        <v>52.064268292682939</v>
      </c>
    </row>
    <row r="61" spans="1:7" ht="21" customHeight="1" x14ac:dyDescent="0.3">
      <c r="A61" s="3" t="s">
        <v>13</v>
      </c>
      <c r="B61" s="3" t="s">
        <v>14</v>
      </c>
      <c r="C61" s="4">
        <v>3.5</v>
      </c>
      <c r="D61" s="6">
        <v>15</v>
      </c>
      <c r="E61" s="5">
        <v>800</v>
      </c>
      <c r="F61" s="7"/>
      <c r="G61" s="6">
        <f t="shared" si="4"/>
        <v>48.30857142857144</v>
      </c>
    </row>
    <row r="62" spans="1:7" ht="21" customHeight="1" x14ac:dyDescent="0.3">
      <c r="A62" s="3" t="s">
        <v>13</v>
      </c>
      <c r="B62" s="3" t="s">
        <v>14</v>
      </c>
      <c r="C62" s="4">
        <v>3.6</v>
      </c>
      <c r="D62" s="6">
        <v>16</v>
      </c>
      <c r="E62" s="5">
        <v>702</v>
      </c>
      <c r="F62" s="7"/>
      <c r="G62" s="6">
        <f t="shared" si="4"/>
        <v>43.960799999999999</v>
      </c>
    </row>
    <row r="63" spans="1:7" ht="21" customHeight="1" x14ac:dyDescent="0.3">
      <c r="A63" s="3" t="s">
        <v>13</v>
      </c>
      <c r="B63" s="3" t="s">
        <v>14</v>
      </c>
      <c r="C63" s="3">
        <v>4.0599999999999996</v>
      </c>
      <c r="D63" s="3">
        <v>7</v>
      </c>
      <c r="E63" s="3">
        <v>1430</v>
      </c>
      <c r="F63" s="33">
        <v>114</v>
      </c>
      <c r="G63" s="3">
        <f t="shared" si="4"/>
        <v>34.739137931034492</v>
      </c>
    </row>
    <row r="64" spans="1:7" ht="21" customHeight="1" x14ac:dyDescent="0.3">
      <c r="A64" s="3"/>
      <c r="B64" s="3"/>
      <c r="C64" s="3">
        <v>4</v>
      </c>
      <c r="D64" s="3">
        <v>8</v>
      </c>
      <c r="E64" s="3">
        <v>1371</v>
      </c>
      <c r="F64" s="33">
        <v>114</v>
      </c>
      <c r="G64" s="3">
        <f t="shared" si="4"/>
        <v>38.634779999999999</v>
      </c>
    </row>
    <row r="65" spans="1:7" ht="21" customHeight="1" x14ac:dyDescent="0.3">
      <c r="A65" s="3"/>
      <c r="B65" s="3"/>
      <c r="C65" s="3"/>
      <c r="D65" s="3"/>
      <c r="E65" s="3"/>
      <c r="F65" s="33"/>
      <c r="G65" s="3"/>
    </row>
    <row r="66" spans="1:7" ht="21" customHeight="1" x14ac:dyDescent="0.3">
      <c r="A66" s="3"/>
      <c r="B66" s="3"/>
      <c r="C66" s="3"/>
      <c r="D66" s="3"/>
      <c r="E66" s="3"/>
      <c r="F66" s="33"/>
      <c r="G66" s="3"/>
    </row>
    <row r="67" spans="1:7" ht="21" customHeight="1" x14ac:dyDescent="0.3">
      <c r="A67" s="3"/>
      <c r="B67" s="3"/>
      <c r="C67" s="3"/>
      <c r="D67" s="3"/>
      <c r="E67" s="3"/>
      <c r="F67" s="33"/>
      <c r="G67" s="3"/>
    </row>
    <row r="68" spans="1:7" ht="21" customHeight="1" x14ac:dyDescent="0.3">
      <c r="A68" s="3"/>
      <c r="B68" s="3"/>
      <c r="C68" s="3"/>
      <c r="D68" s="3"/>
      <c r="E68" s="3"/>
      <c r="F68" s="33"/>
      <c r="G68" s="3"/>
    </row>
    <row r="69" spans="1:7" ht="21" customHeight="1" x14ac:dyDescent="0.3">
      <c r="A69" s="3"/>
      <c r="B69" s="3"/>
      <c r="C69" s="3"/>
      <c r="D69" s="3"/>
      <c r="E69" s="3"/>
      <c r="F69" s="33"/>
      <c r="G69" s="3"/>
    </row>
    <row r="70" spans="1:7" ht="21" customHeight="1" x14ac:dyDescent="0.3">
      <c r="A70" s="3"/>
      <c r="B70" s="3"/>
      <c r="C70" s="3"/>
      <c r="D70" s="3"/>
      <c r="E70" s="3"/>
      <c r="F70" s="33"/>
      <c r="G70" s="3"/>
    </row>
    <row r="71" spans="1:7" ht="21" customHeight="1" x14ac:dyDescent="0.3">
      <c r="A71" s="3"/>
      <c r="B71" s="3"/>
      <c r="C71" s="3"/>
      <c r="D71" s="3"/>
      <c r="E71" s="3"/>
      <c r="F71" s="33"/>
      <c r="G71" s="3"/>
    </row>
    <row r="72" spans="1:7" ht="21" customHeight="1" x14ac:dyDescent="0.3">
      <c r="A72" s="3"/>
      <c r="B72" s="3"/>
      <c r="C72" s="3"/>
      <c r="D72" s="3"/>
      <c r="E72" s="3"/>
      <c r="F72" s="33"/>
      <c r="G72" s="3"/>
    </row>
    <row r="73" spans="1:7" ht="21" customHeight="1" x14ac:dyDescent="0.3">
      <c r="A73" s="3"/>
      <c r="B73" s="3"/>
      <c r="C73" s="3"/>
      <c r="D73" s="3"/>
      <c r="E73" s="3"/>
      <c r="F73" s="33"/>
      <c r="G73" s="3"/>
    </row>
    <row r="74" spans="1:7" ht="21" customHeight="1" x14ac:dyDescent="0.3">
      <c r="A74" s="3"/>
      <c r="B74" s="3"/>
      <c r="C74" s="3"/>
      <c r="D74" s="3"/>
      <c r="E74" s="3"/>
      <c r="F74" s="33"/>
      <c r="G74" s="3"/>
    </row>
    <row r="75" spans="1:7" ht="21" customHeight="1" x14ac:dyDescent="0.3">
      <c r="A75" s="3"/>
      <c r="B75" s="3"/>
      <c r="C75" s="3"/>
      <c r="D75" s="3"/>
      <c r="E75" s="3"/>
      <c r="F75" s="33"/>
      <c r="G75" s="3"/>
    </row>
    <row r="76" spans="1:7" ht="21" customHeight="1" x14ac:dyDescent="0.3">
      <c r="A76" s="3"/>
      <c r="B76" s="3"/>
      <c r="C76" s="3"/>
      <c r="D76" s="3"/>
      <c r="E76" s="3"/>
      <c r="F76" s="33"/>
      <c r="G76" s="3"/>
    </row>
    <row r="77" spans="1:7" ht="21" customHeight="1" x14ac:dyDescent="0.3">
      <c r="A77" s="3"/>
      <c r="B77" s="3"/>
      <c r="C77" s="3"/>
      <c r="D77" s="3"/>
      <c r="E77" s="3"/>
      <c r="F77" s="33"/>
      <c r="G77" s="3"/>
    </row>
    <row r="78" spans="1:7" ht="21" customHeight="1" x14ac:dyDescent="0.3">
      <c r="A78" s="3"/>
      <c r="B78" s="3"/>
      <c r="C78" s="3"/>
      <c r="D78" s="3"/>
      <c r="E78" s="3"/>
      <c r="F78" s="33"/>
      <c r="G78" s="3"/>
    </row>
    <row r="79" spans="1:7" ht="21" customHeight="1" x14ac:dyDescent="0.3">
      <c r="A79" s="3"/>
      <c r="B79" s="3"/>
      <c r="C79" s="3"/>
      <c r="D79" s="3"/>
      <c r="E79" s="3"/>
      <c r="F79" s="33"/>
      <c r="G79" s="3"/>
    </row>
    <row r="80" spans="1:7" ht="21" customHeight="1" x14ac:dyDescent="0.3">
      <c r="A80" s="3"/>
      <c r="B80" s="3"/>
      <c r="C80" s="3"/>
      <c r="D80" s="3"/>
      <c r="E80" s="3"/>
      <c r="F80" s="33"/>
      <c r="G80" s="3"/>
    </row>
    <row r="81" ht="21" customHeight="1" x14ac:dyDescent="0.3"/>
    <row r="82" ht="21" customHeight="1" x14ac:dyDescent="0.3"/>
    <row r="83" ht="21" customHeight="1" x14ac:dyDescent="0.3"/>
    <row r="84" ht="21" customHeight="1" x14ac:dyDescent="0.3"/>
    <row r="85" ht="21" customHeight="1" x14ac:dyDescent="0.3"/>
    <row r="86" ht="21" customHeight="1" x14ac:dyDescent="0.3"/>
    <row r="87" ht="21" customHeight="1" x14ac:dyDescent="0.3"/>
    <row r="88" ht="21" customHeight="1" x14ac:dyDescent="0.3"/>
    <row r="89" ht="21" customHeight="1" x14ac:dyDescent="0.3"/>
    <row r="90" ht="21" customHeight="1" x14ac:dyDescent="0.3"/>
    <row r="91" ht="21" customHeight="1" x14ac:dyDescent="0.3"/>
    <row r="92" ht="21" customHeight="1" x14ac:dyDescent="0.3"/>
    <row r="93" ht="21" customHeight="1" x14ac:dyDescent="0.3"/>
    <row r="94" ht="21" customHeight="1" x14ac:dyDescent="0.3"/>
    <row r="95" ht="21" customHeight="1" x14ac:dyDescent="0.3"/>
    <row r="96" ht="21" customHeight="1" x14ac:dyDescent="0.3"/>
    <row r="97" ht="21" customHeight="1" x14ac:dyDescent="0.3"/>
    <row r="98" ht="21" customHeight="1" x14ac:dyDescent="0.3"/>
    <row r="99" ht="21" customHeight="1" x14ac:dyDescent="0.3"/>
    <row r="100" ht="21" customHeight="1" x14ac:dyDescent="0.3"/>
    <row r="101" ht="21" customHeight="1" x14ac:dyDescent="0.3"/>
    <row r="102" ht="21" customHeight="1" x14ac:dyDescent="0.3"/>
    <row r="103" ht="21" customHeight="1" x14ac:dyDescent="0.3"/>
    <row r="104" ht="21" customHeight="1" x14ac:dyDescent="0.3"/>
    <row r="105" ht="21" customHeight="1" x14ac:dyDescent="0.3"/>
    <row r="106" ht="21" customHeight="1" x14ac:dyDescent="0.3"/>
    <row r="107" ht="21" customHeight="1" x14ac:dyDescent="0.3"/>
    <row r="108" ht="21" customHeight="1" x14ac:dyDescent="0.3"/>
    <row r="109" ht="21" customHeight="1" x14ac:dyDescent="0.3"/>
    <row r="110" ht="21" customHeight="1" x14ac:dyDescent="0.3"/>
    <row r="111" ht="21" customHeight="1" x14ac:dyDescent="0.3"/>
    <row r="112" ht="21" customHeight="1" x14ac:dyDescent="0.3"/>
    <row r="113" ht="21" customHeight="1" x14ac:dyDescent="0.3"/>
    <row r="114" ht="21" customHeight="1" x14ac:dyDescent="0.3"/>
    <row r="115" ht="21" customHeight="1" x14ac:dyDescent="0.3"/>
    <row r="116" ht="21" customHeight="1" x14ac:dyDescent="0.3"/>
    <row r="117" ht="21" customHeight="1" x14ac:dyDescent="0.3"/>
    <row r="118" ht="21" customHeight="1" x14ac:dyDescent="0.3"/>
    <row r="119" ht="21" customHeight="1" x14ac:dyDescent="0.3"/>
    <row r="120" ht="21" customHeight="1" x14ac:dyDescent="0.3"/>
    <row r="121" ht="21" customHeight="1" x14ac:dyDescent="0.3"/>
    <row r="122" ht="21" customHeight="1" x14ac:dyDescent="0.3"/>
    <row r="123" ht="21" customHeight="1" x14ac:dyDescent="0.3"/>
    <row r="124" ht="21" customHeight="1" x14ac:dyDescent="0.3"/>
    <row r="125" ht="21" customHeight="1" x14ac:dyDescent="0.3"/>
    <row r="126" ht="21" customHeight="1" x14ac:dyDescent="0.3"/>
    <row r="127" ht="21" customHeight="1" x14ac:dyDescent="0.3"/>
    <row r="128" ht="21" customHeight="1" x14ac:dyDescent="0.3"/>
    <row r="129" ht="21" customHeight="1" x14ac:dyDescent="0.3"/>
    <row r="130" ht="21" customHeight="1" x14ac:dyDescent="0.3"/>
    <row r="131" ht="21" customHeight="1" x14ac:dyDescent="0.3"/>
    <row r="132" ht="21" customHeight="1" x14ac:dyDescent="0.3"/>
    <row r="133" ht="21" customHeight="1" x14ac:dyDescent="0.3"/>
    <row r="134" ht="21" customHeight="1" x14ac:dyDescent="0.3"/>
    <row r="135" ht="21" customHeight="1" x14ac:dyDescent="0.3"/>
    <row r="136" ht="21" customHeight="1" x14ac:dyDescent="0.3"/>
    <row r="137" ht="21" customHeight="1" x14ac:dyDescent="0.3"/>
    <row r="138" ht="21" customHeight="1" x14ac:dyDescent="0.3"/>
    <row r="139" ht="21" customHeight="1" x14ac:dyDescent="0.3"/>
    <row r="140" ht="21" customHeight="1" x14ac:dyDescent="0.3"/>
    <row r="141" ht="21" customHeight="1" x14ac:dyDescent="0.3"/>
    <row r="142" ht="21" customHeight="1" x14ac:dyDescent="0.3"/>
    <row r="143" ht="21" customHeight="1" x14ac:dyDescent="0.3"/>
    <row r="144" ht="21" customHeight="1" x14ac:dyDescent="0.3"/>
    <row r="145" ht="21" customHeight="1" x14ac:dyDescent="0.3"/>
    <row r="146" ht="21" customHeight="1" x14ac:dyDescent="0.3"/>
    <row r="147" ht="21" customHeight="1" x14ac:dyDescent="0.3"/>
    <row r="148" ht="21" customHeight="1" x14ac:dyDescent="0.3"/>
    <row r="149" ht="21" customHeight="1" x14ac:dyDescent="0.3"/>
    <row r="150" ht="21" customHeight="1" x14ac:dyDescent="0.3"/>
  </sheetData>
  <sortState xmlns:xlrd2="http://schemas.microsoft.com/office/spreadsheetml/2017/richdata2" ref="A4:G65">
    <sortCondition ref="D4:D65"/>
  </sortState>
  <mergeCells count="3">
    <mergeCell ref="K8:L8"/>
    <mergeCell ref="K4:L4"/>
    <mergeCell ref="A1:G1"/>
  </mergeCells>
  <conditionalFormatting sqref="C47:C62 C4:C45">
    <cfRule type="cellIs" dxfId="3" priority="2" operator="greaterThan">
      <formula>2.77</formula>
    </cfRule>
    <cfRule type="cellIs" dxfId="2" priority="3" operator="lessThan">
      <formula>2.75</formula>
    </cfRule>
    <cfRule type="cellIs" dxfId="1" priority="4" operator="greaterThan">
      <formula>2.75</formula>
    </cfRule>
    <cfRule type="cellIs" dxfId="0" priority="5" operator="greaterThan">
      <formula>2.6</formula>
    </cfRule>
  </conditionalFormatting>
  <pageMargins left="0.56000000000000005" right="0.24" top="0.16" bottom="0.54" header="0.16" footer="0.17"/>
  <pageSetup scale="93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22</xdr:col>
                <xdr:colOff>83820</xdr:colOff>
                <xdr:row>5</xdr:row>
                <xdr:rowOff>167640</xdr:rowOff>
              </from>
              <to>
                <xdr:col>23</xdr:col>
                <xdr:colOff>304800</xdr:colOff>
                <xdr:row>6</xdr:row>
                <xdr:rowOff>182880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3:O10"/>
  <sheetViews>
    <sheetView workbookViewId="0">
      <selection activeCell="C4" sqref="C4"/>
    </sheetView>
  </sheetViews>
  <sheetFormatPr defaultRowHeight="14.4" x14ac:dyDescent="0.3"/>
  <sheetData>
    <row r="3" spans="3:15" x14ac:dyDescent="0.3">
      <c r="C3" s="25" t="s">
        <v>27</v>
      </c>
      <c r="D3" s="26" t="s">
        <v>28</v>
      </c>
      <c r="F3" s="3" t="s">
        <v>29</v>
      </c>
      <c r="G3" s="3" t="s">
        <v>30</v>
      </c>
      <c r="H3" s="3" t="s">
        <v>31</v>
      </c>
      <c r="J3" s="27" t="s">
        <v>32</v>
      </c>
      <c r="K3" s="28" t="s">
        <v>33</v>
      </c>
      <c r="M3" s="3" t="s">
        <v>29</v>
      </c>
      <c r="N3" s="3" t="s">
        <v>30</v>
      </c>
      <c r="O3" s="3" t="s">
        <v>31</v>
      </c>
    </row>
    <row r="4" spans="3:15" x14ac:dyDescent="0.3">
      <c r="C4" s="29">
        <v>110</v>
      </c>
      <c r="D4" s="29">
        <v>107</v>
      </c>
      <c r="F4" s="30">
        <f>C4/D4</f>
        <v>1.02803738317757</v>
      </c>
      <c r="G4" s="31">
        <v>1080</v>
      </c>
      <c r="H4" s="32">
        <f>F4*G4</f>
        <v>1110.2803738317755</v>
      </c>
      <c r="J4" s="29">
        <v>60</v>
      </c>
      <c r="K4" s="29">
        <v>50</v>
      </c>
      <c r="M4" s="30">
        <f>J4/K4</f>
        <v>1.2</v>
      </c>
      <c r="N4" s="31">
        <v>1037</v>
      </c>
      <c r="O4" s="32">
        <f>M4*N4</f>
        <v>1244.3999999999999</v>
      </c>
    </row>
    <row r="5" spans="3:15" x14ac:dyDescent="0.3">
      <c r="F5" s="1"/>
      <c r="G5" s="1"/>
      <c r="H5" s="1"/>
    </row>
    <row r="6" spans="3:15" x14ac:dyDescent="0.3">
      <c r="F6" s="3" t="s">
        <v>34</v>
      </c>
      <c r="G6" s="3" t="s">
        <v>35</v>
      </c>
      <c r="H6" s="3" t="s">
        <v>36</v>
      </c>
      <c r="M6" s="3" t="s">
        <v>34</v>
      </c>
      <c r="N6" s="3" t="s">
        <v>35</v>
      </c>
      <c r="O6" s="3" t="s">
        <v>36</v>
      </c>
    </row>
    <row r="7" spans="3:15" x14ac:dyDescent="0.3">
      <c r="F7" s="30">
        <f>F4*F4</f>
        <v>1.0568608612105859</v>
      </c>
      <c r="G7" s="31">
        <v>6</v>
      </c>
      <c r="H7" s="32">
        <f>G7*F7</f>
        <v>6.3411651672635152</v>
      </c>
      <c r="M7" s="30">
        <f>M4*M4</f>
        <v>1.44</v>
      </c>
      <c r="N7" s="31">
        <v>7</v>
      </c>
      <c r="O7" s="32">
        <f>N7*M7</f>
        <v>10.08</v>
      </c>
    </row>
    <row r="9" spans="3:15" x14ac:dyDescent="0.3">
      <c r="F9" s="3" t="s">
        <v>37</v>
      </c>
      <c r="G9" s="3" t="s">
        <v>38</v>
      </c>
      <c r="H9" s="3" t="s">
        <v>39</v>
      </c>
      <c r="M9" s="3" t="s">
        <v>37</v>
      </c>
      <c r="N9" s="3" t="s">
        <v>38</v>
      </c>
      <c r="O9" s="3" t="s">
        <v>39</v>
      </c>
    </row>
    <row r="10" spans="3:15" x14ac:dyDescent="0.3">
      <c r="F10" s="30">
        <f>F4*F4*F4</f>
        <v>1.0864924741417237</v>
      </c>
      <c r="G10" s="31">
        <v>2.2999999999999998</v>
      </c>
      <c r="H10" s="32">
        <f>G10*F10</f>
        <v>2.4989326905259643</v>
      </c>
      <c r="M10" s="30">
        <f>M4*M4*M4</f>
        <v>1.728</v>
      </c>
      <c r="N10" s="31">
        <v>2.39</v>
      </c>
      <c r="O10" s="32">
        <f>N10*M10</f>
        <v>4.1299200000000003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PUMP SELECTION</vt:lpstr>
      <vt:lpstr>Imp dia Cal</vt:lpstr>
      <vt:lpstr>'PUMP SELECTION'!Print_Area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Dhanush Testing- FPL</cp:lastModifiedBy>
  <cp:lastPrinted>2023-11-06T08:55:05Z</cp:lastPrinted>
  <dcterms:created xsi:type="dcterms:W3CDTF">2018-11-18T07:24:15Z</dcterms:created>
  <dcterms:modified xsi:type="dcterms:W3CDTF">2025-06-18T11:12:02Z</dcterms:modified>
</cp:coreProperties>
</file>